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df63a93e45125bfa/Documents/zenn-contents/public/articles/"/>
    </mc:Choice>
  </mc:AlternateContent>
  <xr:revisionPtr revIDLastSave="0" documentId="8_{534248A1-53E3-4A35-8B78-4CC3CF13077E}" xr6:coauthVersionLast="47" xr6:coauthVersionMax="47" xr10:uidLastSave="{00000000-0000-0000-0000-000000000000}"/>
  <bookViews>
    <workbookView xWindow="-120" yWindow="-120" windowWidth="29040" windowHeight="15720" xr2:uid="{3B376C1F-CDE0-4DAE-B15D-C1F4F0EB3929}"/>
  </bookViews>
  <sheets>
    <sheet name="Sheet1" sheetId="1" r:id="rId1"/>
  </sheets>
  <definedNames>
    <definedName name="_xlnm._FilterDatabase" localSheetId="0" hidden="1">Sheet1!$B$2:$N$34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Q5" i="1" l="1"/>
  <c r="P5" i="1"/>
  <c r="P4" i="1"/>
  <c r="Q4" i="1"/>
  <c r="O2" i="1"/>
</calcChain>
</file>

<file path=xl/sharedStrings.xml><?xml version="1.0" encoding="utf-8"?>
<sst xmlns="http://schemas.openxmlformats.org/spreadsheetml/2006/main" count="144" uniqueCount="76">
  <si>
    <t xml:space="preserve"> コード </t>
  </si>
  <si>
    <t xml:space="preserve">       銘柄名       </t>
  </si>
  <si>
    <t xml:space="preserve">   利益   </t>
  </si>
  <si>
    <t xml:space="preserve">  Entry   </t>
  </si>
  <si>
    <t xml:space="preserve">   Exit   </t>
  </si>
  <si>
    <t xml:space="preserve">      戦略      </t>
  </si>
  <si>
    <t xml:space="preserve">    全体相場    </t>
  </si>
  <si>
    <t xml:space="preserve"> 備考 </t>
  </si>
  <si>
    <t xml:space="preserve">  ----  </t>
  </si>
  <si>
    <t xml:space="preserve">       ----         </t>
  </si>
  <si>
    <t xml:space="preserve">   ----   </t>
  </si>
  <si>
    <t xml:space="preserve">    ----  </t>
  </si>
  <si>
    <t xml:space="preserve">      ----      </t>
  </si>
  <si>
    <t xml:space="preserve"> ---- </t>
  </si>
  <si>
    <t xml:space="preserve"> リコー             </t>
  </si>
  <si>
    <t xml:space="preserve">     ロング     </t>
  </si>
  <si>
    <t>関税警戒で&lt;br&gt;上値重い&lt;br&gt;レンジ</t>
  </si>
  <si>
    <t xml:space="preserve"> レンジの&lt;br&gt;下限狙い </t>
  </si>
  <si>
    <t xml:space="preserve"> 住友林業           </t>
  </si>
  <si>
    <t xml:space="preserve">レンジ          </t>
  </si>
  <si>
    <t xml:space="preserve"> 特S窓開けで&lt;br&gt;パニック </t>
  </si>
  <si>
    <t xml:space="preserve"> PPIHD              </t>
  </si>
  <si>
    <t xml:space="preserve">    ショート    </t>
  </si>
  <si>
    <t xml:space="preserve"> 高値圏の稲穂 </t>
  </si>
  <si>
    <t xml:space="preserve"> 稲葉製作所         </t>
  </si>
  <si>
    <t xml:space="preserve"> CupWithHandle&lt;br&gt;＆窓埋め </t>
  </si>
  <si>
    <t xml:space="preserve"> ブリジストン       </t>
  </si>
  <si>
    <t xml:space="preserve"> 大幅安翌日寄付&lt;br&gt;での混乱に&lt;br&gt;巻き込まれた </t>
  </si>
  <si>
    <t xml:space="preserve"> 急上昇と急落の&lt;br&gt;スピード感に&lt;br&gt;乗れなかった </t>
  </si>
  <si>
    <t xml:space="preserve"> 日東紡績           </t>
  </si>
  <si>
    <t xml:space="preserve"> CupWithHandle </t>
  </si>
  <si>
    <t xml:space="preserve"> バウンド前で&lt;br&gt;下限狙い </t>
  </si>
  <si>
    <t xml:space="preserve"> 三菱重工業         </t>
  </si>
  <si>
    <t xml:space="preserve"> 高値圏の稲穂型 </t>
  </si>
  <si>
    <t xml:space="preserve">上値目線&lt;br&gt;レンジ  </t>
  </si>
  <si>
    <t xml:space="preserve"> 反発ライン前で&lt;br&gt;ライン見誤り </t>
  </si>
  <si>
    <t xml:space="preserve"> SBIHD              </t>
  </si>
  <si>
    <t xml:space="preserve"> 大幅下落後の&lt;br&gt;反発 </t>
  </si>
  <si>
    <t xml:space="preserve"> 塩野義製薬         </t>
  </si>
  <si>
    <t xml:space="preserve">レンジ&lt;br&gt;上限付近  </t>
  </si>
  <si>
    <t xml:space="preserve"> CupWithHandle&lt;br&gt;エントリーミス </t>
  </si>
  <si>
    <t xml:space="preserve"> オリンパス         </t>
  </si>
  <si>
    <t xml:space="preserve"> レンジ上限付近&lt;br&gt;ライン見誤り </t>
  </si>
  <si>
    <t xml:space="preserve"> キャノン           </t>
  </si>
  <si>
    <t xml:space="preserve">上値が重い&lt;br&gt;レンジ  </t>
  </si>
  <si>
    <t xml:space="preserve"> 底値付近&lt;br&gt;仕手株で読めず </t>
  </si>
  <si>
    <t xml:space="preserve"> 寄付時下落後&lt;br&gt;の上昇</t>
  </si>
  <si>
    <t xml:space="preserve"> 東洋建設           </t>
  </si>
  <si>
    <t xml:space="preserve"> 上抜け&lt;br&gt;上昇狙い</t>
  </si>
  <si>
    <t xml:space="preserve"> 暴落価格付近&lt;br&gt;レンジ下端&lt;br&gt;狙い</t>
  </si>
  <si>
    <t xml:space="preserve"> 上抜け&lt;br&gt;上昇狙い&lt;br&gt;地固め後の&lt;br&gt;押目買い</t>
  </si>
  <si>
    <t xml:space="preserve"> 東邦チタ           </t>
  </si>
  <si>
    <t xml:space="preserve"> 急上昇後の&lt;br&gt;稲穂型</t>
  </si>
  <si>
    <t xml:space="preserve"> 豊田通商           </t>
  </si>
  <si>
    <t xml:space="preserve"> 急上昇後の&lt;br&gt;急降下&lt;br&gt;成り行き&lt;br&gt;エントリー</t>
  </si>
  <si>
    <t xml:space="preserve"> 成り行き&lt;br&gt;エントリー相殺</t>
  </si>
  <si>
    <t xml:space="preserve"> 宮地エンジン       </t>
  </si>
  <si>
    <t xml:space="preserve"> 高値圏の稲穂型</t>
  </si>
  <si>
    <t xml:space="preserve"> バウンド前で&lt;br&gt;下限狙い</t>
  </si>
  <si>
    <t xml:space="preserve"> NTT                </t>
  </si>
  <si>
    <t xml:space="preserve">      配当      </t>
  </si>
  <si>
    <t xml:space="preserve"> </t>
  </si>
  <si>
    <t xml:space="preserve">  </t>
  </si>
  <si>
    <t xml:space="preserve"> 応用地質           </t>
  </si>
  <si>
    <t xml:space="preserve">上値が重い&lt;br&gt;レンジ </t>
  </si>
  <si>
    <t xml:space="preserve"> ライン上抜け  </t>
  </si>
  <si>
    <t xml:space="preserve"> 新明和工業         </t>
  </si>
  <si>
    <t xml:space="preserve">   </t>
  </si>
  <si>
    <t xml:space="preserve"> 古河電機工業       </t>
  </si>
  <si>
    <t xml:space="preserve"> 高値圏で撃ち&lt;br&gt;落される&lt;br&gt;場面狙い  </t>
  </si>
  <si>
    <t xml:space="preserve">レンジ&lt;br&gt;高値付近  </t>
  </si>
  <si>
    <t xml:space="preserve"> 高値圏の&lt;br&gt;稲穂型（終盤）</t>
  </si>
  <si>
    <t>ロング</t>
    <phoneticPr fontId="1"/>
  </si>
  <si>
    <t>勝</t>
    <rPh sb="0" eb="1">
      <t>カチ</t>
    </rPh>
    <phoneticPr fontId="1"/>
  </si>
  <si>
    <t>負</t>
    <rPh sb="0" eb="1">
      <t>マ</t>
    </rPh>
    <phoneticPr fontId="1"/>
  </si>
  <si>
    <t>ショート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</si>
</sst>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">
    <xf numFmtId="0" fontId="0" fillId="0" borderId="0" xfId="0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56617F-AC17-47B0-8938-540D65EDC3F0}">
  <dimension ref="B2:Q34"/>
  <sheetViews>
    <sheetView tabSelected="1" workbookViewId="0">
      <selection activeCell="Q6" sqref="Q6"/>
    </sheetView>
  </sheetViews>
  <sheetFormatPr defaultRowHeight="18.75" x14ac:dyDescent="0.4"/>
  <sheetData>
    <row r="2" spans="2:17" x14ac:dyDescent="0.4">
      <c r="B2" t="s">
        <v>0</v>
      </c>
      <c r="C2" t="s">
        <v>1</v>
      </c>
      <c r="D2" t="s">
        <v>2</v>
      </c>
      <c r="E2" t="s">
        <v>3</v>
      </c>
      <c r="F2" t="s">
        <v>4</v>
      </c>
      <c r="G2" t="s">
        <v>5</v>
      </c>
      <c r="H2" t="s">
        <v>6</v>
      </c>
      <c r="I2" t="s">
        <v>7</v>
      </c>
      <c r="O2">
        <f>SUM(D4:D49)</f>
        <v>33550</v>
      </c>
    </row>
    <row r="3" spans="2:17" x14ac:dyDescent="0.4">
      <c r="B3" t="s">
        <v>8</v>
      </c>
      <c r="C3" t="s">
        <v>9</v>
      </c>
      <c r="D3" t="s">
        <v>10</v>
      </c>
      <c r="E3" t="s">
        <v>11</v>
      </c>
      <c r="F3" t="s">
        <v>11</v>
      </c>
      <c r="G3" t="s">
        <v>12</v>
      </c>
      <c r="H3" t="s">
        <v>12</v>
      </c>
      <c r="I3" t="s">
        <v>13</v>
      </c>
      <c r="P3" t="s">
        <v>73</v>
      </c>
      <c r="Q3" t="s">
        <v>74</v>
      </c>
    </row>
    <row r="4" spans="2:17" x14ac:dyDescent="0.4">
      <c r="B4">
        <v>7752</v>
      </c>
      <c r="C4" t="s">
        <v>14</v>
      </c>
      <c r="D4">
        <v>-2200</v>
      </c>
      <c r="E4">
        <v>530</v>
      </c>
      <c r="F4">
        <v>602</v>
      </c>
      <c r="G4" t="s">
        <v>15</v>
      </c>
      <c r="H4" t="s">
        <v>16</v>
      </c>
      <c r="I4" t="s">
        <v>17</v>
      </c>
      <c r="O4" t="s">
        <v>72</v>
      </c>
      <c r="P4">
        <f>COUNTIFS(G4:G50, "*ロング*", D4:D50, "&gt;0")</f>
        <v>3</v>
      </c>
      <c r="Q4">
        <f>COUNTIFS(G4:G50, "*ロング*", D4:D50, "&lt;0")</f>
        <v>9</v>
      </c>
    </row>
    <row r="5" spans="2:17" x14ac:dyDescent="0.4">
      <c r="B5">
        <v>1911</v>
      </c>
      <c r="C5" t="s">
        <v>18</v>
      </c>
      <c r="D5">
        <v>-3700</v>
      </c>
      <c r="E5">
        <v>602</v>
      </c>
      <c r="F5">
        <v>602</v>
      </c>
      <c r="G5" t="s">
        <v>15</v>
      </c>
      <c r="H5" t="s">
        <v>19</v>
      </c>
      <c r="I5" t="s">
        <v>20</v>
      </c>
      <c r="O5" t="s">
        <v>75</v>
      </c>
      <c r="P5">
        <f>COUNTIFS(G4:G50, "*ショート*", D4:D50, "&gt;0")</f>
        <v>12</v>
      </c>
      <c r="Q5">
        <f>COUNTIFS(G4:G50, "*ショート*", D4:D50, "&lt;0")</f>
        <v>6</v>
      </c>
    </row>
    <row r="6" spans="2:17" x14ac:dyDescent="0.4">
      <c r="B6">
        <v>7532</v>
      </c>
      <c r="C6" t="s">
        <v>21</v>
      </c>
      <c r="D6">
        <v>4600</v>
      </c>
      <c r="E6">
        <v>603</v>
      </c>
      <c r="F6">
        <v>603</v>
      </c>
      <c r="G6" t="s">
        <v>22</v>
      </c>
      <c r="H6" t="s">
        <v>19</v>
      </c>
      <c r="I6" t="s">
        <v>23</v>
      </c>
    </row>
    <row r="7" spans="2:17" x14ac:dyDescent="0.4">
      <c r="B7">
        <v>3421</v>
      </c>
      <c r="C7" t="s">
        <v>24</v>
      </c>
      <c r="D7">
        <v>400</v>
      </c>
      <c r="E7">
        <v>603</v>
      </c>
      <c r="F7">
        <v>603</v>
      </c>
      <c r="G7" t="s">
        <v>22</v>
      </c>
      <c r="H7" t="s">
        <v>19</v>
      </c>
      <c r="I7" t="s">
        <v>25</v>
      </c>
    </row>
    <row r="8" spans="2:17" x14ac:dyDescent="0.4">
      <c r="B8">
        <v>5108</v>
      </c>
      <c r="C8" t="s">
        <v>26</v>
      </c>
      <c r="D8">
        <v>-900</v>
      </c>
      <c r="E8">
        <v>603</v>
      </c>
      <c r="F8">
        <v>603</v>
      </c>
      <c r="G8" t="s">
        <v>22</v>
      </c>
      <c r="H8" t="s">
        <v>19</v>
      </c>
      <c r="I8" t="s">
        <v>27</v>
      </c>
    </row>
    <row r="9" spans="2:17" x14ac:dyDescent="0.4">
      <c r="B9">
        <v>5108</v>
      </c>
      <c r="C9" t="s">
        <v>26</v>
      </c>
      <c r="D9">
        <v>-1180</v>
      </c>
      <c r="E9">
        <v>603</v>
      </c>
      <c r="F9">
        <v>603</v>
      </c>
      <c r="G9" t="s">
        <v>22</v>
      </c>
      <c r="H9" t="s">
        <v>19</v>
      </c>
      <c r="I9" t="s">
        <v>28</v>
      </c>
    </row>
    <row r="10" spans="2:17" x14ac:dyDescent="0.4">
      <c r="B10">
        <v>3110</v>
      </c>
      <c r="C10" t="s">
        <v>29</v>
      </c>
      <c r="D10">
        <v>4000</v>
      </c>
      <c r="E10">
        <v>604</v>
      </c>
      <c r="F10">
        <v>604</v>
      </c>
      <c r="G10" t="s">
        <v>22</v>
      </c>
      <c r="H10" t="s">
        <v>19</v>
      </c>
      <c r="I10" t="s">
        <v>30</v>
      </c>
    </row>
    <row r="11" spans="2:17" x14ac:dyDescent="0.4">
      <c r="B11">
        <v>5108</v>
      </c>
      <c r="C11" t="s">
        <v>26</v>
      </c>
      <c r="D11">
        <v>-800</v>
      </c>
      <c r="E11">
        <v>605</v>
      </c>
      <c r="F11">
        <v>605</v>
      </c>
      <c r="G11" t="s">
        <v>15</v>
      </c>
      <c r="H11" t="s">
        <v>19</v>
      </c>
      <c r="I11" t="s">
        <v>31</v>
      </c>
    </row>
    <row r="12" spans="2:17" x14ac:dyDescent="0.4">
      <c r="B12">
        <v>7011</v>
      </c>
      <c r="C12" t="s">
        <v>32</v>
      </c>
      <c r="D12">
        <v>2800</v>
      </c>
      <c r="E12">
        <v>605</v>
      </c>
      <c r="F12">
        <v>605</v>
      </c>
      <c r="G12" t="s">
        <v>22</v>
      </c>
      <c r="H12" t="s">
        <v>19</v>
      </c>
      <c r="I12" t="s">
        <v>33</v>
      </c>
    </row>
    <row r="13" spans="2:17" x14ac:dyDescent="0.4">
      <c r="B13">
        <v>7752</v>
      </c>
      <c r="C13" t="s">
        <v>14</v>
      </c>
      <c r="D13">
        <v>-2000</v>
      </c>
      <c r="E13">
        <v>605</v>
      </c>
      <c r="F13">
        <v>606</v>
      </c>
      <c r="G13" t="s">
        <v>15</v>
      </c>
      <c r="H13" t="s">
        <v>34</v>
      </c>
      <c r="I13" t="s">
        <v>35</v>
      </c>
    </row>
    <row r="14" spans="2:17" x14ac:dyDescent="0.4">
      <c r="B14">
        <v>8473</v>
      </c>
      <c r="C14" t="s">
        <v>36</v>
      </c>
      <c r="D14">
        <v>-900</v>
      </c>
      <c r="E14">
        <v>610</v>
      </c>
      <c r="F14">
        <v>610</v>
      </c>
      <c r="G14" t="s">
        <v>22</v>
      </c>
      <c r="H14" t="s">
        <v>34</v>
      </c>
      <c r="I14" t="s">
        <v>33</v>
      </c>
    </row>
    <row r="15" spans="2:17" x14ac:dyDescent="0.4">
      <c r="B15">
        <v>5108</v>
      </c>
      <c r="C15" t="s">
        <v>26</v>
      </c>
      <c r="D15">
        <v>16100</v>
      </c>
      <c r="E15">
        <v>610</v>
      </c>
      <c r="F15">
        <v>612</v>
      </c>
      <c r="G15" t="s">
        <v>15</v>
      </c>
      <c r="H15" t="s">
        <v>34</v>
      </c>
      <c r="I15" t="s">
        <v>37</v>
      </c>
    </row>
    <row r="16" spans="2:17" x14ac:dyDescent="0.4">
      <c r="B16">
        <v>4507</v>
      </c>
      <c r="C16" t="s">
        <v>38</v>
      </c>
      <c r="D16">
        <v>300</v>
      </c>
      <c r="E16">
        <v>612</v>
      </c>
      <c r="F16">
        <v>612</v>
      </c>
      <c r="G16" t="s">
        <v>22</v>
      </c>
      <c r="H16" t="s">
        <v>39</v>
      </c>
      <c r="I16" t="s">
        <v>40</v>
      </c>
    </row>
    <row r="17" spans="2:9" x14ac:dyDescent="0.4">
      <c r="B17">
        <v>4507</v>
      </c>
      <c r="C17" t="s">
        <v>38</v>
      </c>
      <c r="D17">
        <v>2350</v>
      </c>
      <c r="E17">
        <v>612</v>
      </c>
      <c r="F17">
        <v>612</v>
      </c>
      <c r="G17" t="s">
        <v>22</v>
      </c>
      <c r="H17" t="s">
        <v>39</v>
      </c>
      <c r="I17" t="s">
        <v>30</v>
      </c>
    </row>
    <row r="18" spans="2:9" x14ac:dyDescent="0.4">
      <c r="B18">
        <v>7733</v>
      </c>
      <c r="C18" t="s">
        <v>41</v>
      </c>
      <c r="D18">
        <v>850</v>
      </c>
      <c r="E18">
        <v>612</v>
      </c>
      <c r="F18">
        <v>613</v>
      </c>
      <c r="G18" t="s">
        <v>22</v>
      </c>
      <c r="H18" t="s">
        <v>39</v>
      </c>
      <c r="I18" t="s">
        <v>42</v>
      </c>
    </row>
    <row r="19" spans="2:9" x14ac:dyDescent="0.4">
      <c r="B19">
        <v>7751</v>
      </c>
      <c r="C19" t="s">
        <v>43</v>
      </c>
      <c r="D19">
        <v>-1700</v>
      </c>
      <c r="E19">
        <v>616</v>
      </c>
      <c r="F19">
        <v>616</v>
      </c>
      <c r="G19" t="s">
        <v>15</v>
      </c>
      <c r="H19" t="s">
        <v>44</v>
      </c>
      <c r="I19" t="s">
        <v>45</v>
      </c>
    </row>
    <row r="20" spans="2:9" x14ac:dyDescent="0.4">
      <c r="B20">
        <v>7751</v>
      </c>
      <c r="C20" t="s">
        <v>43</v>
      </c>
      <c r="D20">
        <v>-3070</v>
      </c>
      <c r="E20">
        <v>616</v>
      </c>
      <c r="F20">
        <v>617</v>
      </c>
      <c r="G20" t="s">
        <v>15</v>
      </c>
      <c r="H20" t="s">
        <v>44</v>
      </c>
      <c r="I20" t="s">
        <v>46</v>
      </c>
    </row>
    <row r="21" spans="2:9" x14ac:dyDescent="0.4">
      <c r="B21">
        <v>1890</v>
      </c>
      <c r="C21" t="s">
        <v>47</v>
      </c>
      <c r="D21">
        <v>-1500</v>
      </c>
      <c r="E21">
        <v>616</v>
      </c>
      <c r="F21">
        <v>617</v>
      </c>
      <c r="G21" t="s">
        <v>15</v>
      </c>
      <c r="H21" t="s">
        <v>44</v>
      </c>
      <c r="I21" t="s">
        <v>48</v>
      </c>
    </row>
    <row r="22" spans="2:9" x14ac:dyDescent="0.4">
      <c r="B22">
        <v>7752</v>
      </c>
      <c r="C22" t="s">
        <v>14</v>
      </c>
      <c r="D22">
        <v>5200</v>
      </c>
      <c r="E22">
        <v>616</v>
      </c>
      <c r="F22">
        <v>627</v>
      </c>
      <c r="G22" t="s">
        <v>15</v>
      </c>
      <c r="H22" t="s">
        <v>44</v>
      </c>
      <c r="I22" t="s">
        <v>49</v>
      </c>
    </row>
    <row r="23" spans="2:9" x14ac:dyDescent="0.4">
      <c r="B23">
        <v>1890</v>
      </c>
      <c r="C23" t="s">
        <v>47</v>
      </c>
      <c r="D23">
        <v>-700</v>
      </c>
      <c r="E23">
        <v>618</v>
      </c>
      <c r="F23">
        <v>625</v>
      </c>
      <c r="G23" t="s">
        <v>15</v>
      </c>
      <c r="H23" t="s">
        <v>44</v>
      </c>
      <c r="I23" t="s">
        <v>50</v>
      </c>
    </row>
    <row r="24" spans="2:9" x14ac:dyDescent="0.4">
      <c r="B24">
        <v>5727</v>
      </c>
      <c r="C24" t="s">
        <v>51</v>
      </c>
      <c r="D24">
        <v>1700</v>
      </c>
      <c r="E24">
        <v>619</v>
      </c>
      <c r="F24">
        <v>619</v>
      </c>
      <c r="G24" t="s">
        <v>22</v>
      </c>
      <c r="H24" t="s">
        <v>44</v>
      </c>
      <c r="I24" t="s">
        <v>52</v>
      </c>
    </row>
    <row r="25" spans="2:9" x14ac:dyDescent="0.4">
      <c r="B25">
        <v>8015</v>
      </c>
      <c r="C25" t="s">
        <v>53</v>
      </c>
      <c r="D25">
        <v>220</v>
      </c>
      <c r="E25">
        <v>620</v>
      </c>
      <c r="F25">
        <v>620</v>
      </c>
      <c r="G25" t="s">
        <v>22</v>
      </c>
      <c r="H25" t="s">
        <v>44</v>
      </c>
      <c r="I25" t="s">
        <v>54</v>
      </c>
    </row>
    <row r="26" spans="2:9" x14ac:dyDescent="0.4">
      <c r="B26">
        <v>8015</v>
      </c>
      <c r="C26" t="s">
        <v>53</v>
      </c>
      <c r="D26">
        <v>700</v>
      </c>
      <c r="E26">
        <v>620</v>
      </c>
      <c r="F26">
        <v>620</v>
      </c>
      <c r="G26" t="s">
        <v>22</v>
      </c>
      <c r="H26" t="s">
        <v>44</v>
      </c>
      <c r="I26" t="s">
        <v>55</v>
      </c>
    </row>
    <row r="27" spans="2:9" x14ac:dyDescent="0.4">
      <c r="B27">
        <v>3431</v>
      </c>
      <c r="C27" t="s">
        <v>56</v>
      </c>
      <c r="D27">
        <v>-800</v>
      </c>
      <c r="E27">
        <v>620</v>
      </c>
      <c r="F27">
        <v>620</v>
      </c>
      <c r="G27" t="s">
        <v>22</v>
      </c>
      <c r="H27" t="s">
        <v>44</v>
      </c>
      <c r="I27" t="s">
        <v>57</v>
      </c>
    </row>
    <row r="28" spans="2:9" x14ac:dyDescent="0.4">
      <c r="B28">
        <v>7751</v>
      </c>
      <c r="C28" t="s">
        <v>43</v>
      </c>
      <c r="D28">
        <v>-1500</v>
      </c>
      <c r="E28">
        <v>623</v>
      </c>
      <c r="F28">
        <v>623</v>
      </c>
      <c r="G28" t="s">
        <v>15</v>
      </c>
      <c r="H28" t="s">
        <v>44</v>
      </c>
      <c r="I28" t="s">
        <v>58</v>
      </c>
    </row>
    <row r="29" spans="2:9" x14ac:dyDescent="0.4">
      <c r="B29">
        <v>9432</v>
      </c>
      <c r="C29" t="s">
        <v>59</v>
      </c>
      <c r="D29">
        <v>5180</v>
      </c>
      <c r="E29">
        <v>620</v>
      </c>
      <c r="F29">
        <v>620</v>
      </c>
      <c r="G29" t="s">
        <v>60</v>
      </c>
      <c r="H29" t="s">
        <v>61</v>
      </c>
      <c r="I29" t="s">
        <v>62</v>
      </c>
    </row>
    <row r="30" spans="2:9" x14ac:dyDescent="0.4">
      <c r="B30">
        <v>9755</v>
      </c>
      <c r="C30" t="s">
        <v>63</v>
      </c>
      <c r="D30">
        <v>2600</v>
      </c>
      <c r="E30">
        <v>625</v>
      </c>
      <c r="F30">
        <v>625</v>
      </c>
      <c r="G30" t="s">
        <v>15</v>
      </c>
      <c r="H30" t="s">
        <v>64</v>
      </c>
      <c r="I30" t="s">
        <v>65</v>
      </c>
    </row>
    <row r="31" spans="2:9" x14ac:dyDescent="0.4">
      <c r="B31">
        <v>7724</v>
      </c>
      <c r="C31" t="s">
        <v>66</v>
      </c>
      <c r="D31">
        <v>-800</v>
      </c>
      <c r="E31">
        <v>626</v>
      </c>
      <c r="F31">
        <v>626</v>
      </c>
      <c r="G31" t="s">
        <v>22</v>
      </c>
      <c r="H31" t="s">
        <v>61</v>
      </c>
      <c r="I31" t="s">
        <v>67</v>
      </c>
    </row>
    <row r="32" spans="2:9" x14ac:dyDescent="0.4">
      <c r="B32">
        <v>5801</v>
      </c>
      <c r="C32" t="s">
        <v>68</v>
      </c>
      <c r="D32">
        <v>2800</v>
      </c>
      <c r="E32">
        <v>627</v>
      </c>
      <c r="F32">
        <v>627</v>
      </c>
      <c r="G32" t="s">
        <v>22</v>
      </c>
      <c r="H32" t="s">
        <v>61</v>
      </c>
      <c r="I32" t="s">
        <v>69</v>
      </c>
    </row>
    <row r="33" spans="2:9" x14ac:dyDescent="0.4">
      <c r="B33">
        <v>1890</v>
      </c>
      <c r="C33" t="s">
        <v>47</v>
      </c>
      <c r="D33">
        <v>-800</v>
      </c>
      <c r="E33">
        <v>630</v>
      </c>
      <c r="F33">
        <v>630</v>
      </c>
      <c r="G33" t="s">
        <v>22</v>
      </c>
      <c r="H33" t="s">
        <v>70</v>
      </c>
      <c r="I33" t="s">
        <v>71</v>
      </c>
    </row>
    <row r="34" spans="2:9" x14ac:dyDescent="0.4">
      <c r="B34">
        <v>5801</v>
      </c>
      <c r="C34" t="s">
        <v>68</v>
      </c>
      <c r="D34">
        <v>6300</v>
      </c>
      <c r="E34">
        <v>630</v>
      </c>
      <c r="F34">
        <v>630</v>
      </c>
      <c r="G34" t="s">
        <v>22</v>
      </c>
      <c r="H34" t="s">
        <v>61</v>
      </c>
      <c r="I34" t="s">
        <v>69</v>
      </c>
    </row>
  </sheetData>
  <autoFilter ref="B2:N34" xr:uid="{8E56617F-AC17-47B0-8938-540D65EDC3F0}"/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真利奈 濱口</dc:creator>
  <cp:lastModifiedBy>真利奈 濱口</cp:lastModifiedBy>
  <dcterms:created xsi:type="dcterms:W3CDTF">2025-06-30T00:39:13Z</dcterms:created>
  <dcterms:modified xsi:type="dcterms:W3CDTF">2025-06-30T01:18:03Z</dcterms:modified>
</cp:coreProperties>
</file>